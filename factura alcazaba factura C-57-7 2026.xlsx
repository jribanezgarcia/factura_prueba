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ocuments\facturas alcazaba\2026\"/>
    </mc:Choice>
  </mc:AlternateContent>
  <bookViews>
    <workbookView xWindow="0" yWindow="0" windowWidth="21600" windowHeight="10890" tabRatio="500"/>
  </bookViews>
  <sheets>
    <sheet name="Factura de servicio" sheetId="1" r:id="rId1"/>
  </sheets>
  <definedNames>
    <definedName name="_xlnm.Print_Area" localSheetId="0">'Factura de servicio'!$A$1:$D$48</definedName>
  </definedNames>
  <calcPr calcId="162913"/>
</workbook>
</file>

<file path=xl/calcChain.xml><?xml version="1.0" encoding="utf-8"?>
<calcChain xmlns="http://schemas.openxmlformats.org/spreadsheetml/2006/main">
  <c r="C19" i="1" l="1"/>
  <c r="C20" i="1"/>
  <c r="C21" i="1"/>
  <c r="C22" i="1"/>
  <c r="C23" i="1"/>
  <c r="C24" i="1"/>
  <c r="C25" i="1"/>
  <c r="C26" i="1"/>
  <c r="C27" i="1"/>
  <c r="C28" i="1" l="1"/>
  <c r="C29" i="1"/>
  <c r="C30" i="1"/>
  <c r="C31" i="1"/>
  <c r="C32" i="1"/>
  <c r="C33" i="1"/>
  <c r="D34" i="1" l="1"/>
  <c r="D36" i="1" s="1"/>
  <c r="D38" i="1" s="1"/>
</calcChain>
</file>

<file path=xl/sharedStrings.xml><?xml version="1.0" encoding="utf-8"?>
<sst xmlns="http://schemas.openxmlformats.org/spreadsheetml/2006/main" count="31" uniqueCount="30">
  <si>
    <t>Comercial ALCAZABA, S.C.</t>
  </si>
  <si>
    <t>FACTURA</t>
  </si>
  <si>
    <t>COCINAS,PUERTAS ACORAZADAS,INTERIOR,ARMARIOS</t>
  </si>
  <si>
    <t xml:space="preserve"> </t>
  </si>
  <si>
    <t>FACTURAR A:</t>
  </si>
  <si>
    <t xml:space="preserve">Nombre:  </t>
  </si>
  <si>
    <t xml:space="preserve">Fecha: </t>
  </si>
  <si>
    <t xml:space="preserve">NIF: </t>
  </si>
  <si>
    <t xml:space="preserve">Nº Factura: </t>
  </si>
  <si>
    <t xml:space="preserve">Direccion: </t>
  </si>
  <si>
    <t xml:space="preserve">Localidad:    </t>
  </si>
  <si>
    <t>ALMERÍA</t>
  </si>
  <si>
    <t xml:space="preserve">Provincia: </t>
  </si>
  <si>
    <t>Codigo Postal:</t>
  </si>
  <si>
    <t>CANTIDAD</t>
  </si>
  <si>
    <t>DESCRIPCIÓN</t>
  </si>
  <si>
    <t>PRECIO</t>
  </si>
  <si>
    <t>TOTAL</t>
  </si>
  <si>
    <t>BASE</t>
  </si>
  <si>
    <t>IVA</t>
  </si>
  <si>
    <t>DESCUENTO</t>
  </si>
  <si>
    <t>En cumplimiento de la normativa vigente en materia de Protección de Datos de Carácter Personal, le informamos que los datos personales que nos proporciona son tratados por COMERCIAL ALCAZABA, S.C. con la finalidad de llevar a cabo la gestión contable y fiscal. Los datos personales, proporcionados, se conservarán mientras se mantenga la relación comercial y/o prestación de servicios, no se solicitará su supresión por el interesado o durante el plazo que fija la normativa aplicable en la materia. La legitimación para el tratamiento de datos se basa en la relación contractual establecida entre las partes y/o prestación de los servicios solicitados. Los destinatarios de los datos, serán Organismos o personas directamente relacionadas con el responsable, Administración Tributaria y entidades bancarias. El interesado puede ejercer los derechos de acceso a sus datos personales, rectificación, supresión (derecho al olvido), limitación de tratamiento, oposición, portabilidad, derecho a no ser objeto de decisiones automatizadas, así como la revocación del consentimiento prestado. Para ello podrá dirigir un escrito al Responsable, o en su caso, al Delegado de Protección de Datos, a cial.alcazaba@hotmail.com, adjuntando documento que acredite su identidad. Además, el interesado puede dirigirse a la Autoridad de Control en materia de Protección de Datos, para obtener información adicional o presentar una reclamación.</t>
  </si>
  <si>
    <t>ALMERIA</t>
  </si>
  <si>
    <t>MARIA MARTAGON AVALOS</t>
  </si>
  <si>
    <t>49122168X</t>
  </si>
  <si>
    <t>C/PROFESOR MULIAN Nº 41 1º  A 6</t>
  </si>
  <si>
    <t>C-59/7</t>
  </si>
  <si>
    <t>ARMARIO EMPOTRADO 248X335 4P CORREDERAS</t>
  </si>
  <si>
    <t>SEGÚN DISEÑO Y MEDIDAS EN BLANCO REVERSO-</t>
  </si>
  <si>
    <t>AURORA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</si>
</sst>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409]mmmm\ d&quot;, &quot;aaaa;@"/>
    <numFmt numFmtId="165" formatCode="[$-409]m/d/yyyy"/>
    <numFmt numFmtId="166" formatCode="00000"/>
    <numFmt numFmtId="167" formatCode="_(* #,##0.00_);_(* \(#,##0.00\);_(* \-??_);_(@_)"/>
    <numFmt numFmtId="168" formatCode="@&quot;  &quot;"/>
    <numFmt numFmtId="169" formatCode="_(\€* #,##0.00_);_(\€* \(#,##0.00\);_(\€* \-??_);_(@_)"/>
    <numFmt numFmtId="170" formatCode="#.##000;\-#.##000;&quot;&quot;"/>
  </numFmts>
  <fonts count="8" x14ac:knownFonts="1">
    <font>
      <sz val="10"/>
      <name val="Arial"/>
      <charset val="186"/>
    </font>
    <font>
      <b/>
      <sz val="18"/>
      <name val="Arial"/>
      <family val="2"/>
    </font>
    <font>
      <sz val="10"/>
      <name val="Arial"/>
      <family val="2"/>
    </font>
    <font>
      <sz val="28"/>
      <color rgb="FFFF8080"/>
      <name val="Arial Black"/>
      <family val="2"/>
    </font>
    <font>
      <b/>
      <i/>
      <sz val="10"/>
      <name val="Arial"/>
      <family val="2"/>
    </font>
    <font>
      <b/>
      <sz val="10"/>
      <name val="Arial"/>
      <family val="2"/>
    </font>
    <font>
      <b/>
      <sz val="12"/>
      <name val="Arial"/>
      <family val="2"/>
    </font>
    <font>
      <sz val="6"/>
      <name val="Arial"/>
    </font>
  </fonts>
  <fills count="4">
    <fill>
      <patternFill patternType="none"/>
    </fill>
    <fill>
      <patternFill patternType="gray125"/>
    </fill>
    <fill>
      <patternFill patternType="solid">
        <fgColor rgb="FFFF8080"/>
        <bgColor rgb="FFFF99CC"/>
      </patternFill>
    </fill>
    <fill>
      <patternFill patternType="solid">
        <fgColor rgb="FFEAEAEA"/>
        <bgColor rgb="FFD8E4E8"/>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39">
    <xf numFmtId="0" fontId="0" fillId="0" borderId="0" xfId="0" applyAlignment="1"/>
    <xf numFmtId="0" fontId="0" fillId="0" borderId="0" xfId="0" applyAlignment="1"/>
    <xf numFmtId="0" fontId="1" fillId="0" borderId="0" xfId="0" applyFont="1" applyAlignment="1"/>
    <xf numFmtId="0" fontId="2" fillId="0" borderId="0" xfId="0" applyFont="1" applyAlignment="1"/>
    <xf numFmtId="0" fontId="3" fillId="0" borderId="0" xfId="0" applyFont="1" applyAlignment="1">
      <alignment horizontal="right"/>
    </xf>
    <xf numFmtId="0" fontId="4" fillId="0" borderId="0" xfId="0" applyFont="1" applyAlignment="1"/>
    <xf numFmtId="0" fontId="5" fillId="0" borderId="0" xfId="0" applyFont="1" applyAlignment="1">
      <alignment horizontal="left" indent="1"/>
    </xf>
    <xf numFmtId="164" fontId="2" fillId="0" borderId="0" xfId="0" applyNumberFormat="1" applyFont="1" applyAlignment="1">
      <alignment horizontal="left" shrinkToFit="1"/>
    </xf>
    <xf numFmtId="0" fontId="2" fillId="0" borderId="0" xfId="0" applyFont="1" applyAlignment="1">
      <alignment horizontal="left"/>
    </xf>
    <xf numFmtId="0" fontId="5" fillId="0" borderId="0" xfId="0" applyFont="1" applyAlignment="1"/>
    <xf numFmtId="0" fontId="5" fillId="0" borderId="0" xfId="0" applyFont="1" applyAlignment="1">
      <alignment horizontal="left" vertical="top" indent="1"/>
    </xf>
    <xf numFmtId="0" fontId="2" fillId="0" borderId="0" xfId="0" applyFont="1" applyAlignment="1">
      <alignment horizontal="left" vertical="top" wrapText="1"/>
    </xf>
    <xf numFmtId="0" fontId="5" fillId="0" borderId="0" xfId="0" applyFont="1" applyAlignment="1">
      <alignment horizontal="right"/>
    </xf>
    <xf numFmtId="165" fontId="5" fillId="0" borderId="0" xfId="0" applyNumberFormat="1" applyFont="1" applyAlignment="1">
      <alignment horizontal="right"/>
    </xf>
    <xf numFmtId="14" fontId="2" fillId="0" borderId="0" xfId="0" applyNumberFormat="1" applyFont="1" applyAlignment="1">
      <alignment horizontal="left"/>
    </xf>
    <xf numFmtId="0" fontId="0" fillId="0" borderId="0" xfId="0" applyAlignment="1">
      <alignment vertical="center"/>
    </xf>
    <xf numFmtId="166" fontId="2" fillId="0" borderId="0" xfId="0" applyNumberFormat="1" applyFont="1" applyAlignment="1">
      <alignment horizontal="left"/>
    </xf>
    <xf numFmtId="0" fontId="5" fillId="2" borderId="1" xfId="0" applyFont="1" applyFill="1" applyBorder="1" applyAlignment="1">
      <alignment horizontal="center" vertical="center"/>
    </xf>
    <xf numFmtId="1" fontId="2" fillId="0" borderId="2" xfId="0" applyNumberFormat="1" applyFont="1" applyBorder="1" applyAlignment="1">
      <alignment horizontal="center" vertical="center"/>
    </xf>
    <xf numFmtId="0" fontId="2" fillId="0" borderId="2" xfId="0" applyFont="1" applyBorder="1" applyAlignment="1">
      <alignment horizontal="left" vertical="center"/>
    </xf>
    <xf numFmtId="167" fontId="2" fillId="3" borderId="2" xfId="0" applyNumberFormat="1" applyFont="1" applyFill="1" applyBorder="1" applyAlignment="1">
      <alignment vertical="center"/>
    </xf>
    <xf numFmtId="1" fontId="2" fillId="0" borderId="3" xfId="0" applyNumberFormat="1" applyFont="1" applyBorder="1" applyAlignment="1">
      <alignment horizontal="center" vertical="center"/>
    </xf>
    <xf numFmtId="0" fontId="2" fillId="0" borderId="3" xfId="0" applyFont="1" applyBorder="1" applyAlignment="1">
      <alignment horizontal="left" vertical="center"/>
    </xf>
    <xf numFmtId="0" fontId="2" fillId="0" borderId="0" xfId="0" applyFont="1" applyAlignment="1">
      <alignment horizontal="left" vertical="center"/>
    </xf>
    <xf numFmtId="0" fontId="2" fillId="0" borderId="0" xfId="0" applyFont="1" applyAlignment="1">
      <alignment vertical="center"/>
    </xf>
    <xf numFmtId="168" fontId="2" fillId="0" borderId="0" xfId="0" applyNumberFormat="1" applyFont="1" applyAlignment="1">
      <alignment horizontal="right" vertical="center"/>
    </xf>
    <xf numFmtId="169" fontId="2" fillId="3" borderId="1" xfId="0" applyNumberFormat="1" applyFont="1" applyFill="1" applyBorder="1" applyAlignment="1">
      <alignment horizontal="right" vertical="center"/>
    </xf>
    <xf numFmtId="9" fontId="2" fillId="0" borderId="3" xfId="0" applyNumberFormat="1" applyFont="1" applyBorder="1" applyAlignment="1">
      <alignment horizontal="right" vertical="center"/>
    </xf>
    <xf numFmtId="0" fontId="2" fillId="0" borderId="0" xfId="0" applyFont="1" applyAlignment="1">
      <alignment horizontal="right" vertical="center"/>
    </xf>
    <xf numFmtId="9" fontId="2" fillId="0" borderId="0" xfId="0" applyNumberFormat="1" applyFont="1" applyAlignment="1">
      <alignment horizontal="right" vertical="center"/>
    </xf>
    <xf numFmtId="2" fontId="2" fillId="3" borderId="3" xfId="0" applyNumberFormat="1" applyFont="1" applyFill="1" applyBorder="1" applyAlignment="1">
      <alignment horizontal="right" vertical="center"/>
    </xf>
    <xf numFmtId="4" fontId="2" fillId="0" borderId="3" xfId="0" applyNumberFormat="1" applyFont="1" applyBorder="1" applyAlignment="1">
      <alignment horizontal="right" vertical="center"/>
    </xf>
    <xf numFmtId="168" fontId="5" fillId="0" borderId="0" xfId="0" applyNumberFormat="1" applyFont="1" applyAlignment="1">
      <alignment horizontal="right" vertical="center"/>
    </xf>
    <xf numFmtId="169" fontId="6" fillId="3" borderId="3" xfId="0" applyNumberFormat="1" applyFont="1" applyFill="1" applyBorder="1" applyAlignment="1">
      <alignment horizontal="right" vertical="center"/>
    </xf>
    <xf numFmtId="170" fontId="2" fillId="0" borderId="2" xfId="0" applyNumberFormat="1" applyFont="1" applyBorder="1" applyAlignment="1">
      <alignment horizontal="center" vertical="center"/>
    </xf>
    <xf numFmtId="170" fontId="2" fillId="0" borderId="3" xfId="0" applyNumberFormat="1" applyFont="1" applyBorder="1" applyAlignment="1">
      <alignment horizontal="center" vertical="center"/>
    </xf>
    <xf numFmtId="170" fontId="2" fillId="0" borderId="4" xfId="0" applyNumberFormat="1" applyFont="1" applyBorder="1" applyAlignment="1">
      <alignment horizontal="center" vertical="center"/>
    </xf>
    <xf numFmtId="0" fontId="7" fillId="0" borderId="0" xfId="0" applyFont="1" applyAlignment="1">
      <alignment horizontal="justify" vertical="top" wrapText="1"/>
    </xf>
    <xf numFmtId="0" fontId="0" fillId="0" borderId="0" xfId="0" applyAlignment="1"/>
  </cellXfs>
  <cellStyles count="1">
    <cellStyle name="Normal" xfId="0" builtinId="0"/>
  </cellStyles>
  <dxfs count="0"/>
  <tableStyles count="0" defaultTableStyle="TableStyleMedium2" defaultPivotStyle="PivotStyleLight16"/>
  <colors>
    <indexedColors>
      <rgbColor rgb="FF000000"/>
      <rgbColor rgb="FFEAEAEA"/>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8E4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10440</xdr:colOff>
      <xdr:row>47</xdr:row>
      <xdr:rowOff>9360</xdr:rowOff>
    </xdr:from>
    <xdr:to>
      <xdr:col>4</xdr:col>
      <xdr:colOff>720</xdr:colOff>
      <xdr:row>48</xdr:row>
      <xdr:rowOff>75</xdr:rowOff>
    </xdr:to>
    <xdr:sp macro="" textlink="">
      <xdr:nvSpPr>
        <xdr:cNvPr id="2" name="Text Box 1"/>
        <xdr:cNvSpPr/>
      </xdr:nvSpPr>
      <xdr:spPr>
        <a:xfrm>
          <a:off x="10440" y="10062000"/>
          <a:ext cx="6904800" cy="152640"/>
        </a:xfrm>
        <a:prstGeom prst="rect">
          <a:avLst/>
        </a:prstGeom>
        <a:solidFill>
          <a:srgbClr val="FFFFFF"/>
        </a:solidFill>
        <a:ln w="0">
          <a:noFill/>
        </a:ln>
      </xdr:spPr>
      <xdr:style>
        <a:lnRef idx="0">
          <a:scrgbClr r="0" g="0" b="0"/>
        </a:lnRef>
        <a:fillRef idx="0">
          <a:scrgbClr r="0" g="0" b="0"/>
        </a:fillRef>
        <a:effectRef idx="0">
          <a:scrgbClr r="0" g="0" b="0"/>
        </a:effectRef>
        <a:fontRef idx="minor"/>
      </xdr:style>
      <xdr:txBody>
        <a:bodyPr lIns="27360" tIns="22680" rIns="27360" bIns="0" anchor="t">
          <a:noAutofit/>
        </a:bodyPr>
        <a:lstStyle/>
        <a:p>
          <a:pPr algn="ctr"/>
          <a:r>
            <a:rPr lang="en-US" sz="1000" b="1" strike="noStrike" spc="-1">
              <a:solidFill>
                <a:srgbClr val="000000"/>
              </a:solidFill>
              <a:latin typeface="Arial"/>
            </a:rPr>
            <a:t>GRACIAS POR SU CONFIANZA EN NOSOTROS</a:t>
          </a:r>
          <a:endParaRPr lang="en-US" sz="1000" b="0" strike="noStrike" spc="-1">
            <a:latin typeface="Times New Roman"/>
          </a:endParaRPr>
        </a:p>
      </xdr:txBody>
    </xdr:sp>
    <xdr:clientData/>
  </xdr:twoCellAnchor>
  <xdr:twoCellAnchor editAs="oneCell">
    <xdr:from>
      <xdr:col>0</xdr:col>
      <xdr:colOff>0</xdr:colOff>
      <xdr:row>0</xdr:row>
      <xdr:rowOff>0</xdr:rowOff>
    </xdr:from>
    <xdr:to>
      <xdr:col>4</xdr:col>
      <xdr:colOff>131400</xdr:colOff>
      <xdr:row>9</xdr:row>
      <xdr:rowOff>142920</xdr:rowOff>
    </xdr:to>
    <xdr:pic>
      <xdr:nvPicPr>
        <xdr:cNvPr id="3" name="Picture 7" descr="c"/>
        <xdr:cNvPicPr/>
      </xdr:nvPicPr>
      <xdr:blipFill>
        <a:blip xmlns:r="http://schemas.openxmlformats.org/officeDocument/2006/relationships" r:embed="rId1"/>
        <a:stretch/>
      </xdr:blipFill>
      <xdr:spPr>
        <a:xfrm>
          <a:off x="0" y="0"/>
          <a:ext cx="7045920" cy="2067120"/>
        </a:xfrm>
        <a:prstGeom prst="rect">
          <a:avLst/>
        </a:prstGeom>
        <a:ln w="0">
          <a:noFill/>
        </a:ln>
      </xdr:spPr>
    </xdr:pic>
    <xdr:clientData/>
  </xdr:twoCellAnchor>
  <xdr:twoCellAnchor editAs="oneCell">
    <xdr:from>
      <xdr:col>0</xdr:col>
      <xdr:colOff>91080</xdr:colOff>
      <xdr:row>8</xdr:row>
      <xdr:rowOff>123480</xdr:rowOff>
    </xdr:from>
    <xdr:to>
      <xdr:col>0</xdr:col>
      <xdr:colOff>222120</xdr:colOff>
      <xdr:row>9</xdr:row>
      <xdr:rowOff>85680</xdr:rowOff>
    </xdr:to>
    <xdr:sp macro="" textlink="">
      <xdr:nvSpPr>
        <xdr:cNvPr id="4" name="Multiplicar 1"/>
        <xdr:cNvSpPr/>
      </xdr:nvSpPr>
      <xdr:spPr>
        <a:xfrm flipV="1">
          <a:off x="91080" y="1885320"/>
          <a:ext cx="131040" cy="124200"/>
        </a:xfrm>
        <a:custGeom>
          <a:avLst/>
          <a:gdLst/>
          <a:ahLst/>
          <a:cxnLst/>
          <a:rect l="l" t="t" r="r" b="b"/>
          <a:pathLst>
            <a:path w="123825" h="123825">
              <a:moveTo>
                <a:pt x="19443" y="40036"/>
              </a:moveTo>
              <a:lnTo>
                <a:pt x="40036" y="19443"/>
              </a:lnTo>
              <a:lnTo>
                <a:pt x="61913" y="41319"/>
              </a:lnTo>
              <a:lnTo>
                <a:pt x="83789" y="19443"/>
              </a:lnTo>
              <a:lnTo>
                <a:pt x="104382" y="40036"/>
              </a:lnTo>
              <a:lnTo>
                <a:pt x="82506" y="61913"/>
              </a:lnTo>
              <a:lnTo>
                <a:pt x="104382" y="83789"/>
              </a:lnTo>
              <a:lnTo>
                <a:pt x="83789" y="104382"/>
              </a:lnTo>
              <a:lnTo>
                <a:pt x="61913" y="82506"/>
              </a:lnTo>
              <a:lnTo>
                <a:pt x="40036" y="104382"/>
              </a:lnTo>
              <a:lnTo>
                <a:pt x="19443" y="83789"/>
              </a:lnTo>
              <a:lnTo>
                <a:pt x="41319" y="61913"/>
              </a:lnTo>
              <a:lnTo>
                <a:pt x="19443" y="40036"/>
              </a:lnTo>
              <a:close/>
            </a:path>
          </a:pathLst>
        </a:custGeom>
        <a:solidFill>
          <a:srgbClr val="090000"/>
        </a:solidFill>
        <a:ln w="9360">
          <a:solidFill>
            <a:srgbClr val="400000"/>
          </a:solidFill>
          <a:round/>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E4E8"/>
    <pageSetUpPr fitToPage="1"/>
  </sheetPr>
  <dimension ref="A1:D48"/>
  <sheetViews>
    <sheetView tabSelected="1" zoomScaleNormal="100" workbookViewId="0">
      <selection activeCell="D20" sqref="D20"/>
    </sheetView>
  </sheetViews>
  <sheetFormatPr baseColWidth="10" defaultColWidth="9.140625" defaultRowHeight="12.75" x14ac:dyDescent="0.2"/>
  <cols>
    <col min="1" max="1" width="12.7109375" style="1" customWidth="1"/>
    <col min="2" max="2" width="51.7109375" style="1" customWidth="1"/>
    <col min="3" max="3" width="14.140625" style="1" customWidth="1"/>
    <col min="4" max="4" width="19.5703125" style="1" customWidth="1"/>
  </cols>
  <sheetData>
    <row r="1" spans="1:4" ht="42.75" customHeight="1" x14ac:dyDescent="0.8">
      <c r="A1" s="2" t="s">
        <v>0</v>
      </c>
      <c r="B1" s="3"/>
      <c r="C1" s="3"/>
      <c r="D1" s="4" t="s">
        <v>1</v>
      </c>
    </row>
    <row r="2" spans="1:4" ht="12.75" customHeight="1" x14ac:dyDescent="0.2">
      <c r="A2" s="5" t="s">
        <v>2</v>
      </c>
      <c r="B2" s="3"/>
      <c r="C2" s="3"/>
      <c r="D2" s="3"/>
    </row>
    <row r="3" spans="1:4" ht="12.75" customHeight="1" x14ac:dyDescent="0.2">
      <c r="A3" s="5"/>
      <c r="B3" s="3"/>
      <c r="C3" s="3"/>
      <c r="D3" s="3"/>
    </row>
    <row r="4" spans="1:4" ht="12.75" customHeight="1" x14ac:dyDescent="0.2">
      <c r="A4" s="5"/>
      <c r="B4" s="3"/>
      <c r="C4" s="3"/>
      <c r="D4" s="3"/>
    </row>
    <row r="5" spans="1:4" ht="12.75" customHeight="1" x14ac:dyDescent="0.2">
      <c r="A5" s="3"/>
      <c r="B5" s="3"/>
      <c r="C5" s="3"/>
      <c r="D5" s="3"/>
    </row>
    <row r="6" spans="1:4" ht="12.75" customHeight="1" x14ac:dyDescent="0.2">
      <c r="A6" s="3"/>
      <c r="B6" s="3"/>
      <c r="C6" s="6"/>
      <c r="D6" s="7"/>
    </row>
    <row r="7" spans="1:4" ht="12.75" customHeight="1" x14ac:dyDescent="0.2">
      <c r="A7" s="3"/>
      <c r="B7" s="3"/>
      <c r="C7" s="6"/>
      <c r="D7" s="8"/>
    </row>
    <row r="8" spans="1:4" ht="19.5" customHeight="1" x14ac:dyDescent="0.2">
      <c r="A8" s="3" t="s">
        <v>3</v>
      </c>
      <c r="B8" s="3"/>
      <c r="C8" s="3"/>
      <c r="D8" s="3"/>
    </row>
    <row r="9" spans="1:4" ht="12.75" customHeight="1" x14ac:dyDescent="0.2">
      <c r="A9" s="3"/>
      <c r="B9" s="3"/>
      <c r="C9" s="3"/>
      <c r="D9" s="3"/>
    </row>
    <row r="10" spans="1:4" ht="12.75" customHeight="1" x14ac:dyDescent="0.2">
      <c r="A10" s="9" t="s">
        <v>4</v>
      </c>
      <c r="B10" s="3"/>
      <c r="C10" s="10"/>
      <c r="D10" s="11"/>
    </row>
    <row r="11" spans="1:4" ht="12.75" customHeight="1" x14ac:dyDescent="0.2">
      <c r="A11" s="12" t="s">
        <v>5</v>
      </c>
      <c r="B11" s="8" t="s">
        <v>23</v>
      </c>
      <c r="C11" s="13" t="s">
        <v>6</v>
      </c>
      <c r="D11" s="14">
        <v>46217</v>
      </c>
    </row>
    <row r="12" spans="1:4" ht="12.75" customHeight="1" x14ac:dyDescent="0.2">
      <c r="A12" s="12" t="s">
        <v>7</v>
      </c>
      <c r="B12" s="8" t="s">
        <v>24</v>
      </c>
      <c r="C12" s="12" t="s">
        <v>8</v>
      </c>
      <c r="D12" s="8" t="s">
        <v>26</v>
      </c>
    </row>
    <row r="13" spans="1:4" ht="12.75" customHeight="1" x14ac:dyDescent="0.2">
      <c r="A13" s="12" t="s">
        <v>9</v>
      </c>
      <c r="B13" s="8" t="s">
        <v>25</v>
      </c>
      <c r="C13" s="8"/>
      <c r="D13" s="8"/>
    </row>
    <row r="14" spans="1:4" ht="12.75" customHeight="1" x14ac:dyDescent="0.2">
      <c r="A14" s="12" t="s">
        <v>10</v>
      </c>
      <c r="B14" s="8" t="s">
        <v>22</v>
      </c>
      <c r="C14" s="8"/>
      <c r="D14" s="8"/>
    </row>
    <row r="15" spans="1:4" ht="15" customHeight="1" x14ac:dyDescent="0.2">
      <c r="A15" s="12" t="s">
        <v>12</v>
      </c>
      <c r="B15" s="8" t="s">
        <v>11</v>
      </c>
      <c r="C15" s="8"/>
      <c r="D15" s="8"/>
    </row>
    <row r="16" spans="1:4" s="15" customFormat="1" ht="20.100000000000001" customHeight="1" x14ac:dyDescent="0.2">
      <c r="A16" s="9" t="s">
        <v>13</v>
      </c>
      <c r="B16" s="16">
        <v>4009</v>
      </c>
      <c r="C16" s="3"/>
      <c r="D16" s="3"/>
    </row>
    <row r="17" spans="1:4" s="15" customFormat="1" ht="20.100000000000001" customHeight="1" x14ac:dyDescent="0.2">
      <c r="A17" s="3"/>
      <c r="B17" s="3"/>
      <c r="C17" s="3"/>
      <c r="D17" s="3"/>
    </row>
    <row r="18" spans="1:4" s="15" customFormat="1" ht="20.100000000000001" customHeight="1" x14ac:dyDescent="0.2">
      <c r="A18" s="17" t="s">
        <v>14</v>
      </c>
      <c r="B18" s="17" t="s">
        <v>15</v>
      </c>
      <c r="C18" s="17" t="s">
        <v>16</v>
      </c>
      <c r="D18" s="17" t="s">
        <v>17</v>
      </c>
    </row>
    <row r="19" spans="1:4" s="15" customFormat="1" ht="20.100000000000001" customHeight="1" x14ac:dyDescent="0.2">
      <c r="A19" s="18">
        <v>1</v>
      </c>
      <c r="B19" s="19" t="s">
        <v>27</v>
      </c>
      <c r="C19" s="36">
        <f>PRODUCT(A19,D19)/1.21</f>
        <v>3128.0991735537191</v>
      </c>
      <c r="D19" s="20">
        <v>3785</v>
      </c>
    </row>
    <row r="20" spans="1:4" s="15" customFormat="1" ht="20.100000000000001" customHeight="1" x14ac:dyDescent="0.2">
      <c r="A20" s="18"/>
      <c r="B20" s="19" t="s">
        <v>28</v>
      </c>
      <c r="C20" s="34">
        <f t="shared" ref="C20:C33" si="0">PRODUCT(A20,D20)/1.21</f>
        <v>0</v>
      </c>
      <c r="D20" s="20"/>
    </row>
    <row r="21" spans="1:4" s="15" customFormat="1" ht="20.100000000000001" customHeight="1" x14ac:dyDescent="0.2">
      <c r="A21" s="18"/>
      <c r="B21" s="19" t="s">
        <v>29</v>
      </c>
      <c r="C21" s="34">
        <f t="shared" si="0"/>
        <v>0</v>
      </c>
      <c r="D21" s="20"/>
    </row>
    <row r="22" spans="1:4" s="15" customFormat="1" ht="20.100000000000001" customHeight="1" x14ac:dyDescent="0.2">
      <c r="A22" s="18"/>
      <c r="B22" s="19"/>
      <c r="C22" s="34">
        <f t="shared" si="0"/>
        <v>0</v>
      </c>
      <c r="D22" s="20"/>
    </row>
    <row r="23" spans="1:4" s="15" customFormat="1" ht="20.100000000000001" customHeight="1" x14ac:dyDescent="0.2">
      <c r="A23" s="18"/>
      <c r="B23" s="19"/>
      <c r="C23" s="34">
        <f t="shared" si="0"/>
        <v>0</v>
      </c>
      <c r="D23" s="20"/>
    </row>
    <row r="24" spans="1:4" s="15" customFormat="1" ht="20.100000000000001" customHeight="1" x14ac:dyDescent="0.2">
      <c r="A24" s="18"/>
      <c r="B24" s="19"/>
      <c r="C24" s="34">
        <f t="shared" si="0"/>
        <v>0</v>
      </c>
      <c r="D24" s="20"/>
    </row>
    <row r="25" spans="1:4" s="15" customFormat="1" ht="20.100000000000001" customHeight="1" x14ac:dyDescent="0.2">
      <c r="A25" s="18"/>
      <c r="B25" s="19"/>
      <c r="C25" s="34">
        <f t="shared" si="0"/>
        <v>0</v>
      </c>
      <c r="D25" s="20"/>
    </row>
    <row r="26" spans="1:4" s="15" customFormat="1" ht="20.100000000000001" customHeight="1" x14ac:dyDescent="0.2">
      <c r="A26" s="18"/>
      <c r="B26" s="19"/>
      <c r="C26" s="34">
        <f t="shared" si="0"/>
        <v>0</v>
      </c>
      <c r="D26" s="20"/>
    </row>
    <row r="27" spans="1:4" s="15" customFormat="1" ht="20.100000000000001" customHeight="1" x14ac:dyDescent="0.2">
      <c r="A27" s="18"/>
      <c r="B27" s="19"/>
      <c r="C27" s="34">
        <f t="shared" si="0"/>
        <v>0</v>
      </c>
      <c r="D27" s="20"/>
    </row>
    <row r="28" spans="1:4" s="15" customFormat="1" ht="20.100000000000001" customHeight="1" x14ac:dyDescent="0.2">
      <c r="A28" s="18"/>
      <c r="B28" s="19"/>
      <c r="C28" s="34">
        <f t="shared" si="0"/>
        <v>0</v>
      </c>
      <c r="D28" s="20"/>
    </row>
    <row r="29" spans="1:4" s="15" customFormat="1" ht="20.100000000000001" customHeight="1" x14ac:dyDescent="0.2">
      <c r="A29" s="18"/>
      <c r="B29" s="19"/>
      <c r="C29" s="34">
        <f t="shared" si="0"/>
        <v>0</v>
      </c>
      <c r="D29" s="20"/>
    </row>
    <row r="30" spans="1:4" s="15" customFormat="1" ht="20.100000000000001" customHeight="1" x14ac:dyDescent="0.2">
      <c r="A30" s="18"/>
      <c r="B30" s="19"/>
      <c r="C30" s="34">
        <f t="shared" si="0"/>
        <v>0</v>
      </c>
      <c r="D30" s="20"/>
    </row>
    <row r="31" spans="1:4" s="15" customFormat="1" ht="20.100000000000001" customHeight="1" x14ac:dyDescent="0.2">
      <c r="A31" s="18"/>
      <c r="B31" s="19"/>
      <c r="C31" s="34">
        <f t="shared" si="0"/>
        <v>0</v>
      </c>
      <c r="D31" s="20"/>
    </row>
    <row r="32" spans="1:4" s="15" customFormat="1" ht="20.100000000000001" customHeight="1" x14ac:dyDescent="0.2">
      <c r="A32" s="18"/>
      <c r="B32" s="19"/>
      <c r="C32" s="34">
        <f t="shared" si="0"/>
        <v>0</v>
      </c>
      <c r="D32" s="20"/>
    </row>
    <row r="33" spans="1:4" s="15" customFormat="1" ht="20.100000000000001" customHeight="1" x14ac:dyDescent="0.2">
      <c r="A33" s="21"/>
      <c r="B33" s="22"/>
      <c r="C33" s="35">
        <f t="shared" si="0"/>
        <v>0</v>
      </c>
      <c r="D33" s="20"/>
    </row>
    <row r="34" spans="1:4" s="15" customFormat="1" ht="20.25" customHeight="1" x14ac:dyDescent="0.2">
      <c r="A34" s="23"/>
      <c r="B34" s="24"/>
      <c r="C34" s="25" t="s">
        <v>18</v>
      </c>
      <c r="D34" s="26">
        <f>SUM(C19:C33)</f>
        <v>3128.0991735537191</v>
      </c>
    </row>
    <row r="35" spans="1:4" s="15" customFormat="1" ht="15.75" customHeight="1" x14ac:dyDescent="0.2">
      <c r="A35" s="23"/>
      <c r="B35" s="24"/>
      <c r="C35" s="25"/>
      <c r="D35" s="27"/>
    </row>
    <row r="36" spans="1:4" s="15" customFormat="1" ht="14.25" customHeight="1" x14ac:dyDescent="0.2">
      <c r="A36" s="23"/>
      <c r="B36" s="28" t="s">
        <v>19</v>
      </c>
      <c r="C36" s="29">
        <v>0.21</v>
      </c>
      <c r="D36" s="30">
        <f>C36*D34</f>
        <v>656.90082644628103</v>
      </c>
    </row>
    <row r="37" spans="1:4" ht="12.75" customHeight="1" x14ac:dyDescent="0.2">
      <c r="A37" s="23"/>
      <c r="B37" s="24"/>
      <c r="C37" s="25" t="s">
        <v>20</v>
      </c>
      <c r="D37" s="31"/>
    </row>
    <row r="38" spans="1:4" ht="21.75" customHeight="1" x14ac:dyDescent="0.2">
      <c r="A38" s="24"/>
      <c r="B38" s="24"/>
      <c r="C38" s="32" t="s">
        <v>17</v>
      </c>
      <c r="D38" s="33">
        <f>D34+D36+D37</f>
        <v>3785</v>
      </c>
    </row>
    <row r="39" spans="1:4" ht="12.75" customHeight="1" x14ac:dyDescent="0.2">
      <c r="A39" s="3"/>
      <c r="B39" s="3"/>
      <c r="C39" s="3"/>
      <c r="D39" s="3"/>
    </row>
    <row r="40" spans="1:4" ht="9.9499999999999993" customHeight="1" x14ac:dyDescent="0.2">
      <c r="A40" s="37" t="s">
        <v>21</v>
      </c>
      <c r="B40" s="38"/>
      <c r="C40" s="38"/>
      <c r="D40" s="38"/>
    </row>
    <row r="41" spans="1:4" ht="9.9499999999999993" customHeight="1" x14ac:dyDescent="0.2">
      <c r="A41" s="38"/>
      <c r="B41" s="38"/>
      <c r="C41" s="38"/>
      <c r="D41" s="38"/>
    </row>
    <row r="42" spans="1:4" ht="9.9499999999999993" customHeight="1" x14ac:dyDescent="0.2">
      <c r="A42" s="38"/>
      <c r="B42" s="38"/>
      <c r="C42" s="38"/>
      <c r="D42" s="38"/>
    </row>
    <row r="43" spans="1:4" ht="9.9499999999999993" customHeight="1" x14ac:dyDescent="0.2">
      <c r="A43" s="38"/>
      <c r="B43" s="38"/>
      <c r="C43" s="38"/>
      <c r="D43" s="38"/>
    </row>
    <row r="44" spans="1:4" ht="9.9499999999999993" customHeight="1" x14ac:dyDescent="0.2">
      <c r="A44" s="38"/>
      <c r="B44" s="38"/>
      <c r="C44" s="38"/>
      <c r="D44" s="38"/>
    </row>
    <row r="45" spans="1:4" ht="9.9499999999999993" customHeight="1" x14ac:dyDescent="0.2">
      <c r="A45" s="38"/>
      <c r="B45" s="38"/>
      <c r="C45" s="38"/>
      <c r="D45" s="38"/>
    </row>
    <row r="46" spans="1:4" ht="9.9499999999999993" customHeight="1" x14ac:dyDescent="0.2">
      <c r="A46" s="38"/>
      <c r="B46" s="38"/>
      <c r="C46" s="38"/>
      <c r="D46" s="38"/>
    </row>
    <row r="47" spans="1:4" ht="9.9499999999999993" customHeight="1" x14ac:dyDescent="0.2">
      <c r="A47" s="38"/>
      <c r="B47" s="38"/>
      <c r="C47" s="38"/>
      <c r="D47" s="38"/>
    </row>
    <row r="48" spans="1:4" ht="9.9499999999999993" customHeight="1" x14ac:dyDescent="0.2">
      <c r="A48" s="38"/>
      <c r="B48" s="38"/>
      <c r="C48" s="38"/>
      <c r="D48" s="38"/>
    </row>
  </sheetData>
  <mergeCells count="1">
    <mergeCell ref="A40:D48"/>
  </mergeCells>
  <pageMargins left="0.5" right="0.5" top="0.5" bottom="0.5" header="0.511811023622047" footer="0.511811023622047"/>
  <pageSetup paperSize="9" scale="96"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Factura de servicio</vt:lpstr>
      <vt:lpstr>'Factura de servicio'!Área_de_impresión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asesoria ml</cp:lastModifiedBy>
  <cp:revision>0</cp:revision>
  <cp:lastPrinted>2026-08-10T09:35:25Z</cp:lastPrinted>
  <dcterms:created xsi:type="dcterms:W3CDTF">2000-07-27T22:23:01Z</dcterms:created>
  <dcterms:modified xsi:type="dcterms:W3CDTF">2026-08-10T10:26:42Z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TC062071003082</vt:lpwstr>
  </property>
</Properties>
</file>